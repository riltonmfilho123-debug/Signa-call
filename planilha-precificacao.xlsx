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Taxas" sheetId="2" state="visible" r:id="rId4"/>
    <sheet name="Precificação" sheetId="3" state="visible" r:id="rId5"/>
    <sheet name="Projeçã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<sst xmlns="http://schemas.openxmlformats.org/spreadsheetml/2006/main" count="91" uniqueCount="88">
  <si>
    <t xml:space="preserve">Planilha de Precificação — Caramelo Pet</t>
  </si>
  <si>
    <t xml:space="preserve">COMO USAR</t>
  </si>
  <si>
    <t xml:space="preserve">1. Na aba 'Taxas', confira as comissões do Mercado Livre e da Shopee (células amarelas).</t>
  </si>
  <si>
    <t xml:space="preserve">   Os valores já preenchidos são os típicos de 2026, mas as plataformas mudam as taxas —</t>
  </si>
  <si>
    <t xml:space="preserve">   confira os valores oficiais no Seller Center do Mercado Livre e no Seller Centre da Shopee.</t>
  </si>
  <si>
    <t xml:space="preserve">2. Na aba 'Precificação', preencha as células amarelas de cada produto:</t>
  </si>
  <si>
    <t xml:space="preserve">   nome, custo de compra (o que você pagou na 25 de Março / Brás), embalagem e a margem de lucro desejada.</t>
  </si>
  <si>
    <t xml:space="preserve">3. A planilha calcula sozinha o preço de venda sugerido em cada canal (site, Mercado Livre e Shopee)</t>
  </si>
  <si>
    <t xml:space="preserve">   e o lucro que sobra em cada venda.</t>
  </si>
  <si>
    <t xml:space="preserve">LEGENDA</t>
  </si>
  <si>
    <t xml:space="preserve">Células amarelas com texto azul = você preenche.</t>
  </si>
  <si>
    <t xml:space="preserve">Células brancas com texto preto = fórmulas, não mexa.</t>
  </si>
  <si>
    <t xml:space="preserve">As linhas de produto já preenchidas são EXEMPLOS com custos estimados — troque pelos seus valores reais.</t>
  </si>
  <si>
    <t xml:space="preserve">COMO A CONTA É FEITA</t>
  </si>
  <si>
    <t xml:space="preserve">Preço sugerido = (custo + embalagem + taxa fixa do canal) ÷ (1 − margem − comissão do canal).</t>
  </si>
  <si>
    <t xml:space="preserve">Assim a margem desejada é garantida DEPOIS de pagar a comissão da plataforma.</t>
  </si>
  <si>
    <t xml:space="preserve">No site próprio não há comissão, por isso o preço pode ser menor (ou o lucro maior).</t>
  </si>
  <si>
    <t xml:space="preserve">Taxas dos canais de venda</t>
  </si>
  <si>
    <t xml:space="preserve">Canal / taxa</t>
  </si>
  <si>
    <t xml:space="preserve">Valor</t>
  </si>
  <si>
    <t xml:space="preserve">Observação</t>
  </si>
  <si>
    <t xml:space="preserve">Mercado Livre — comissão (anúncio Clássico)</t>
  </si>
  <si>
    <t xml:space="preserve">Varia de 10% a 14% conforme a categoria. Confira no Seller Center.</t>
  </si>
  <si>
    <t xml:space="preserve">Mercado Livre — tarifa fixa (produto abaixo de R$ 79)</t>
  </si>
  <si>
    <t xml:space="preserve">Tarifa variável por peso/faixa de preço; acima de R$ 79 não há tarifa fixa.</t>
  </si>
  <si>
    <t xml:space="preserve">Shopee — comissão</t>
  </si>
  <si>
    <t xml:space="preserve">14% a 20% conforme a faixa de preço (20% para itens até R$ 79,99).</t>
  </si>
  <si>
    <t xml:space="preserve">Shopee — taxa fixa por item</t>
  </si>
  <si>
    <t xml:space="preserve">R$ 4 a R$ 26 conforme o valor; vendedor CPF paga R$ 7 até atingir volume.</t>
  </si>
  <si>
    <t xml:space="preserve">Margem de lucro padrão (usada se o produto não tiver margem própria)</t>
  </si>
  <si>
    <t xml:space="preserve">30% de margem sobre o preço de venda é um bom ponto de partida.</t>
  </si>
  <si>
    <t xml:space="preserve">Fonte dos valores padrão: tabelas públicas de taxas do Mercado Livre e da Shopee (Brasil, 2026), informadas pelo usuário/pesquisa em set/2026. Sempre confirme nos canais oficiais antes de precificar.</t>
  </si>
  <si>
    <t xml:space="preserve">Precificação por canal</t>
  </si>
  <si>
    <t xml:space="preserve">Preencha as colunas amarelas (A a D). Os preços sugeridos garantem a margem desejada já descontando comissões e taxas fixas de cada canal.</t>
  </si>
  <si>
    <t xml:space="preserve">Produto</t>
  </si>
  <si>
    <t xml:space="preserve">Custo de compra</t>
  </si>
  <si>
    <t xml:space="preserve">Embalagem/extras</t>
  </si>
  <si>
    <t xml:space="preserve">Margem desejada</t>
  </si>
  <si>
    <t xml:space="preserve">Custo total</t>
  </si>
  <si>
    <t xml:space="preserve">Preço site próprio</t>
  </si>
  <si>
    <t xml:space="preserve">Lucro no site</t>
  </si>
  <si>
    <t xml:space="preserve">Preço Mercado Livre</t>
  </si>
  <si>
    <t xml:space="preserve">Lucro no ML</t>
  </si>
  <si>
    <t xml:space="preserve">Preço Shopee</t>
  </si>
  <si>
    <t xml:space="preserve">Lucro na Shopee</t>
  </si>
  <si>
    <t xml:space="preserve">Coleira ajustável com fivela</t>
  </si>
  <si>
    <t xml:space="preserve">Guia retrátil 5 metros</t>
  </si>
  <si>
    <t xml:space="preserve">Peitoral acolchoado</t>
  </si>
  <si>
    <t xml:space="preserve">Mordedor de borracha maciça</t>
  </si>
  <si>
    <t xml:space="preserve">Bolinha com apito</t>
  </si>
  <si>
    <t xml:space="preserve">Corda dental trançada</t>
  </si>
  <si>
    <t xml:space="preserve">Comedouro duplo inox</t>
  </si>
  <si>
    <t xml:space="preserve">Bifinho de carne 500 g</t>
  </si>
  <si>
    <t xml:space="preserve">Caminha redonda de pelúcia</t>
  </si>
  <si>
    <t xml:space="preserve">Moletom pet com capuz</t>
  </si>
  <si>
    <t xml:space="preserve">Tapete higiênico — 30 unidades</t>
  </si>
  <si>
    <t xml:space="preserve">Shampoo neutro 500 ml</t>
  </si>
  <si>
    <t xml:space="preserve">Custos de compra das linhas de exemplo são estimativas de atacado (25 de Março/Brás) só para demonstrar o cálculo — substitua pelos seus custos reais de nota.</t>
  </si>
  <si>
    <t xml:space="preserve">Projeção mensal da operação</t>
  </si>
  <si>
    <t xml:space="preserve">Estimativa de um mês típico após 2–3 meses de operação (o 1º mês é de montagem de anúncios e reputação). Células amarelas = você ajusta; o resto calcula sozinho.</t>
  </si>
  <si>
    <t xml:space="preserve">Premissas</t>
  </si>
  <si>
    <t xml:space="preserve">Conservador</t>
  </si>
  <si>
    <t xml:space="preserve">Realista</t>
  </si>
  <si>
    <t xml:space="preserve">Otimista</t>
  </si>
  <si>
    <t xml:space="preserve">Anúncios por mês (Instagram/Meta)</t>
  </si>
  <si>
    <t xml:space="preserve">Custo por clique — CPC</t>
  </si>
  <si>
    <t xml:space="preserve">Conversão do site em vendas</t>
  </si>
  <si>
    <t xml:space="preserve">Ticket médio por pedido</t>
  </si>
  <si>
    <t xml:space="preserve">Margem por venda (após taxas, aba Precificação)</t>
  </si>
  <si>
    <t xml:space="preserve">Pedidos por mês no Mercado Livre</t>
  </si>
  <si>
    <t xml:space="preserve">Pedidos por mês na Shopee</t>
  </si>
  <si>
    <t xml:space="preserve">Resultados</t>
  </si>
  <si>
    <t xml:space="preserve">Visitas no site (anúncios ÷ CPC)</t>
  </si>
  <si>
    <t xml:space="preserve">Pedidos no site</t>
  </si>
  <si>
    <t xml:space="preserve">Pedidos totais (site + ML + Shopee)</t>
  </si>
  <si>
    <t xml:space="preserve">Faturamento do mês</t>
  </si>
  <si>
    <t xml:space="preserve">Lucro sobre os produtos</t>
  </si>
  <si>
    <t xml:space="preserve">(−) Investimento em anúncios</t>
  </si>
  <si>
    <t xml:space="preserve">LUCRO LÍQUIDO DO MÊS</t>
  </si>
  <si>
    <t xml:space="preserve">Lucro sobre o faturamento</t>
  </si>
  <si>
    <t xml:space="preserve">Estoque girando necessário (≈45% do faturamento)</t>
  </si>
  <si>
    <t xml:space="preserve">Premissas e fontes:</t>
  </si>
  <si>
    <t xml:space="preserve">• CPC de R$ 0,80–1,20: faixa típica de anúncios Meta (Instagram/Facebook) para varejo no Brasil; informado como estimativa, confira no seu Gerenciador de Anúncios.</t>
  </si>
  <si>
    <t xml:space="preserve">• Conversão de 1%–2,5%: faixa comum de e-commerce pequeno com fechamento assistido por WhatsApp; loja nova começa perto de 1%.</t>
  </si>
  <si>
    <t xml:space="preserve">• Pedidos de ML e Shopee: estimativa de rampa usando produtos recorrentes (tapete higiênico, areia); começam perto de zero no 1º mês.</t>
  </si>
  <si>
    <t xml:space="preserve">• Margem de 30%: é a margem-alvo configurada na aba Precificação (já líquida das taxas de cada canal).</t>
  </si>
  <si>
    <t xml:space="preserve">• Custo de mercadoria ≈ 45% do faturamento: decorre da margem de 30% + taxas médias; usado para estimar o estoque necessário.</t>
  </si>
  <si>
    <t xml:space="preserve">• O 1º mês tende a fechar no zero a zero ou negativo — a projeção vale para a operação já rodando.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</si>
</sst>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&quot;R$ &quot;#,##0.00;[RED]&quot;(R$ &quot;#,##0.00\);\-"/>
    <numFmt numFmtId="167" formatCode="&quot;R$ &quot;#,##0.00;[RED]&quot;(R$ &quot;#,##0.00\);\-"/>
    <numFmt numFmtId="168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67C2E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6E7D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BB6"/>
      </left>
      <right style="thin">
        <color rgb="FFD9CBB6"/>
      </right>
      <top style="thin">
        <color rgb="FFD9CBB6"/>
      </top>
      <bottom style="thin">
        <color rgb="FFD9CB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BB6"/>
      <rgbColor rgb="FF808080"/>
      <rgbColor rgb="FF9999FF"/>
      <rgbColor rgb="FF993366"/>
      <rgbColor rgb="FFF6E7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7C2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5" t="s">
        <v>17</v>
      </c>
    </row>
    <row r="3" customFormat="false" ht="15" hidden="false" customHeight="true" outlineLevel="0" collapsed="false">
      <c r="A3" s="6" t="s">
        <v>18</v>
      </c>
      <c r="B3" s="6" t="s">
        <v>19</v>
      </c>
      <c r="C3" s="6" t="s">
        <v>20</v>
      </c>
    </row>
    <row r="4" customFormat="false" ht="15" hidden="false" customHeight="true" outlineLevel="0" collapsed="false">
      <c r="A4" s="7" t="s">
        <v>21</v>
      </c>
      <c r="B4" s="8" t="n">
        <v>0.13</v>
      </c>
      <c r="C4" s="9" t="s">
        <v>22</v>
      </c>
    </row>
    <row r="5" customFormat="false" ht="15" hidden="false" customHeight="true" outlineLevel="0" collapsed="false">
      <c r="A5" s="7" t="s">
        <v>23</v>
      </c>
      <c r="B5" s="10" t="n">
        <v>6.5</v>
      </c>
      <c r="C5" s="9" t="s">
        <v>24</v>
      </c>
    </row>
    <row r="6" customFormat="false" ht="15" hidden="false" customHeight="true" outlineLevel="0" collapsed="false">
      <c r="A6" s="7" t="s">
        <v>25</v>
      </c>
      <c r="B6" s="8" t="n">
        <v>0.2</v>
      </c>
      <c r="C6" s="9" t="s">
        <v>26</v>
      </c>
    </row>
    <row r="7" customFormat="false" ht="15" hidden="false" customHeight="true" outlineLevel="0" collapsed="false">
      <c r="A7" s="7" t="s">
        <v>27</v>
      </c>
      <c r="B7" s="10" t="n">
        <v>4</v>
      </c>
      <c r="C7" s="9" t="s">
        <v>28</v>
      </c>
    </row>
    <row r="8" customFormat="false" ht="15" hidden="false" customHeight="true" outlineLevel="0" collapsed="false">
      <c r="A8" s="7" t="s">
        <v>29</v>
      </c>
      <c r="B8" s="8" t="n">
        <v>0.3</v>
      </c>
      <c r="C8" s="9" t="s">
        <v>30</v>
      </c>
    </row>
    <row r="10" customFormat="false" ht="15" hidden="false" customHeight="true" outlineLevel="0" collapsed="false">
      <c r="A10" s="1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5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8" min="8" style="1" width="17"/>
    <col collapsed="false" customWidth="true" hidden="false" outlineLevel="0" max="9" min="9" style="1" width="13"/>
    <col collapsed="false" customWidth="true" hidden="false" outlineLevel="0" max="10" min="10" style="1" width="15"/>
    <col collapsed="false" customWidth="true" hidden="false" outlineLevel="0" max="11" min="11" style="1" width="14"/>
  </cols>
  <sheetData>
    <row r="1" customFormat="false" ht="17.25" hidden="false" customHeight="true" outlineLevel="0" collapsed="false">
      <c r="A1" s="5" t="s">
        <v>32</v>
      </c>
    </row>
    <row r="2" customFormat="false" ht="15" hidden="false" customHeight="true" outlineLevel="0" collapsed="false">
      <c r="A2" s="11" t="s">
        <v>33</v>
      </c>
    </row>
    <row r="4" customFormat="false" ht="15" hidden="false" customHeight="true" outlineLevel="0" collapsed="false">
      <c r="A4" s="12" t="s">
        <v>34</v>
      </c>
      <c r="B4" s="12" t="s">
        <v>35</v>
      </c>
      <c r="C4" s="12" t="s">
        <v>36</v>
      </c>
      <c r="D4" s="12" t="s">
        <v>37</v>
      </c>
      <c r="E4" s="12" t="s">
        <v>38</v>
      </c>
      <c r="F4" s="12" t="s">
        <v>39</v>
      </c>
      <c r="G4" s="12" t="s">
        <v>40</v>
      </c>
      <c r="H4" s="12" t="s">
        <v>41</v>
      </c>
      <c r="I4" s="12" t="s">
        <v>42</v>
      </c>
      <c r="J4" s="12" t="s">
        <v>43</v>
      </c>
      <c r="K4" s="12" t="s">
        <v>44</v>
      </c>
    </row>
    <row r="5" customFormat="false" ht="15" hidden="false" customHeight="true" outlineLevel="0" collapsed="false">
      <c r="A5" s="13" t="s">
        <v>45</v>
      </c>
      <c r="B5" s="10" t="n">
        <v>7</v>
      </c>
      <c r="C5" s="10" t="n">
        <v>1.5</v>
      </c>
      <c r="D5" s="8"/>
      <c r="E5" s="14" t="n">
        <f aca="false">IF($A5="","",B5+C5)</f>
        <v>8.5</v>
      </c>
      <c r="F5" s="14" t="n">
        <f aca="false">IF($A5="","",IFERROR(E5/(1-IF(D5="",Taxas!$B$8,D5)),"margem inválida"))</f>
        <v>12.1428571428571</v>
      </c>
      <c r="G5" s="15" t="n">
        <f aca="false">IF($A5="","",F5-E5)</f>
        <v>3.64285714285714</v>
      </c>
      <c r="H5" s="14" t="n">
        <f aca="false">IF($A5="","",IFERROR(IF(E5/(1-IF(D5="",Taxas!$B$8,D5)-Taxas!$B$4)&gt;=79,E5/(1-IF(D5="",Taxas!$B$8,D5)-Taxas!$B$4),(E5+Taxas!$B$5)/(1-IF(D5="",Taxas!$B$8,D5)-Taxas!$B$4)),"margem+comissão ≥ 100%"))</f>
        <v>26.3157894736842</v>
      </c>
      <c r="I5" s="15" t="n">
        <f aca="false">IF($A5="","",IF(ISNUMBER(H5),H5*(1-Taxas!$B$4)-E5-IF(H5&lt;79,Taxas!$B$5,0),""))</f>
        <v>7.89473684210526</v>
      </c>
      <c r="J5" s="14" t="n">
        <f aca="false">IF($A5="","",IFERROR((E5+Taxas!$B$7)/(1-IF(D5="",Taxas!$B$8,D5)-Taxas!$B$6),"margem+comissão ≥ 100%"))</f>
        <v>25</v>
      </c>
      <c r="K5" s="15" t="n">
        <f aca="false">IF($A5="","",IF(ISNUMBER(J5),J5*(1-Taxas!$B$6)-E5-Taxas!$B$7,""))</f>
        <v>7.5</v>
      </c>
    </row>
    <row r="6" customFormat="false" ht="15" hidden="false" customHeight="true" outlineLevel="0" collapsed="false">
      <c r="A6" s="13" t="s">
        <v>46</v>
      </c>
      <c r="B6" s="10" t="n">
        <v>18</v>
      </c>
      <c r="C6" s="10" t="n">
        <v>2</v>
      </c>
      <c r="D6" s="8"/>
      <c r="E6" s="14" t="n">
        <f aca="false">IF($A6="","",B6+C6)</f>
        <v>20</v>
      </c>
      <c r="F6" s="14" t="n">
        <f aca="false">IF($A6="","",IFERROR(E6/(1-IF(D6="",Taxas!$B$8,D6)),"margem inválida"))</f>
        <v>28.5714285714286</v>
      </c>
      <c r="G6" s="15" t="n">
        <f aca="false">IF($A6="","",F6-E6)</f>
        <v>8.57142857142857</v>
      </c>
      <c r="H6" s="14" t="n">
        <f aca="false">IF($A6="","",IFERROR(IF(E6/(1-IF(D6="",Taxas!$B$8,D6)-Taxas!$B$4)&gt;=79,E6/(1-IF(D6="",Taxas!$B$8,D6)-Taxas!$B$4),(E6+Taxas!$B$5)/(1-IF(D6="",Taxas!$B$8,D6)-Taxas!$B$4)),"margem+comissão ≥ 100%"))</f>
        <v>46.4912280701754</v>
      </c>
      <c r="I6" s="15" t="n">
        <f aca="false">IF($A6="","",IF(ISNUMBER(H6),H6*(1-Taxas!$B$4)-E6-IF(H6&lt;79,Taxas!$B$5,0),""))</f>
        <v>13.9473684210526</v>
      </c>
      <c r="J6" s="14" t="n">
        <f aca="false">IF($A6="","",IFERROR((E6+Taxas!$B$7)/(1-IF(D6="",Taxas!$B$8,D6)-Taxas!$B$6),"margem+comissão ≥ 100%"))</f>
        <v>48</v>
      </c>
      <c r="K6" s="15" t="n">
        <f aca="false">IF($A6="","",IF(ISNUMBER(J6),J6*(1-Taxas!$B$6)-E6-Taxas!$B$7,""))</f>
        <v>14.4</v>
      </c>
    </row>
    <row r="7" customFormat="false" ht="15" hidden="false" customHeight="true" outlineLevel="0" collapsed="false">
      <c r="A7" s="13" t="s">
        <v>47</v>
      </c>
      <c r="B7" s="10" t="n">
        <v>14</v>
      </c>
      <c r="C7" s="10" t="n">
        <v>1.5</v>
      </c>
      <c r="D7" s="8"/>
      <c r="E7" s="14" t="n">
        <f aca="false">IF($A7="","",B7+C7)</f>
        <v>15.5</v>
      </c>
      <c r="F7" s="14" t="n">
        <f aca="false">IF($A7="","",IFERROR(E7/(1-IF(D7="",Taxas!$B$8,D7)),"margem inválida"))</f>
        <v>22.1428571428571</v>
      </c>
      <c r="G7" s="15" t="n">
        <f aca="false">IF($A7="","",F7-E7)</f>
        <v>6.64285714285715</v>
      </c>
      <c r="H7" s="14" t="n">
        <f aca="false">IF($A7="","",IFERROR(IF(E7/(1-IF(D7="",Taxas!$B$8,D7)-Taxas!$B$4)&gt;=79,E7/(1-IF(D7="",Taxas!$B$8,D7)-Taxas!$B$4),(E7+Taxas!$B$5)/(1-IF(D7="",Taxas!$B$8,D7)-Taxas!$B$4)),"margem+comissão ≥ 100%"))</f>
        <v>38.5964912280702</v>
      </c>
      <c r="I7" s="15" t="n">
        <f aca="false">IF($A7="","",IF(ISNUMBER(H7),H7*(1-Taxas!$B$4)-E7-IF(H7&lt;79,Taxas!$B$5,0),""))</f>
        <v>11.5789473684211</v>
      </c>
      <c r="J7" s="14" t="n">
        <f aca="false">IF($A7="","",IFERROR((E7+Taxas!$B$7)/(1-IF(D7="",Taxas!$B$8,D7)-Taxas!$B$6),"margem+comissão ≥ 100%"))</f>
        <v>39</v>
      </c>
      <c r="K7" s="15" t="n">
        <f aca="false">IF($A7="","",IF(ISNUMBER(J7),J7*(1-Taxas!$B$6)-E7-Taxas!$B$7,""))</f>
        <v>11.7</v>
      </c>
    </row>
    <row r="8" customFormat="false" ht="15" hidden="false" customHeight="true" outlineLevel="0" collapsed="false">
      <c r="A8" s="13" t="s">
        <v>48</v>
      </c>
      <c r="B8" s="10" t="n">
        <v>5</v>
      </c>
      <c r="C8" s="10" t="n">
        <v>1</v>
      </c>
      <c r="D8" s="8"/>
      <c r="E8" s="14" t="n">
        <f aca="false">IF($A8="","",B8+C8)</f>
        <v>6</v>
      </c>
      <c r="F8" s="14" t="n">
        <f aca="false">IF($A8="","",IFERROR(E8/(1-IF(D8="",Taxas!$B$8,D8)),"margem inválida"))</f>
        <v>8.57142857142857</v>
      </c>
      <c r="G8" s="15" t="n">
        <f aca="false">IF($A8="","",F8-E8)</f>
        <v>2.57142857142857</v>
      </c>
      <c r="H8" s="14" t="n">
        <f aca="false">IF($A8="","",IFERROR(IF(E8/(1-IF(D8="",Taxas!$B$8,D8)-Taxas!$B$4)&gt;=79,E8/(1-IF(D8="",Taxas!$B$8,D8)-Taxas!$B$4),(E8+Taxas!$B$5)/(1-IF(D8="",Taxas!$B$8,D8)-Taxas!$B$4)),"margem+comissão ≥ 100%"))</f>
        <v>21.9298245614035</v>
      </c>
      <c r="I8" s="15" t="n">
        <f aca="false">IF($A8="","",IF(ISNUMBER(H8),H8*(1-Taxas!$B$4)-E8-IF(H8&lt;79,Taxas!$B$5,0),""))</f>
        <v>6.57894736842106</v>
      </c>
      <c r="J8" s="14" t="n">
        <f aca="false">IF($A8="","",IFERROR((E8+Taxas!$B$7)/(1-IF(D8="",Taxas!$B$8,D8)-Taxas!$B$6),"margem+comissão ≥ 100%"))</f>
        <v>20</v>
      </c>
      <c r="K8" s="15" t="n">
        <f aca="false">IF($A8="","",IF(ISNUMBER(J8),J8*(1-Taxas!$B$6)-E8-Taxas!$B$7,""))</f>
        <v>6</v>
      </c>
    </row>
    <row r="9" customFormat="false" ht="15" hidden="false" customHeight="true" outlineLevel="0" collapsed="false">
      <c r="A9" s="13" t="s">
        <v>49</v>
      </c>
      <c r="B9" s="10" t="n">
        <v>2.5</v>
      </c>
      <c r="C9" s="10" t="n">
        <v>1</v>
      </c>
      <c r="D9" s="8"/>
      <c r="E9" s="14" t="n">
        <f aca="false">IF($A9="","",B9+C9)</f>
        <v>3.5</v>
      </c>
      <c r="F9" s="14" t="n">
        <f aca="false">IF($A9="","",IFERROR(E9/(1-IF(D9="",Taxas!$B$8,D9)),"margem inválida"))</f>
        <v>5</v>
      </c>
      <c r="G9" s="15" t="n">
        <f aca="false">IF($A9="","",F9-E9)</f>
        <v>1.5</v>
      </c>
      <c r="H9" s="14" t="n">
        <f aca="false">IF($A9="","",IFERROR(IF(E9/(1-IF(D9="",Taxas!$B$8,D9)-Taxas!$B$4)&gt;=79,E9/(1-IF(D9="",Taxas!$B$8,D9)-Taxas!$B$4),(E9+Taxas!$B$5)/(1-IF(D9="",Taxas!$B$8,D9)-Taxas!$B$4)),"margem+comissão ≥ 100%"))</f>
        <v>17.5438596491228</v>
      </c>
      <c r="I9" s="15" t="n">
        <f aca="false">IF($A9="","",IF(ISNUMBER(H9),H9*(1-Taxas!$B$4)-E9-IF(H9&lt;79,Taxas!$B$5,0),""))</f>
        <v>5.26315789473684</v>
      </c>
      <c r="J9" s="14" t="n">
        <f aca="false">IF($A9="","",IFERROR((E9+Taxas!$B$7)/(1-IF(D9="",Taxas!$B$8,D9)-Taxas!$B$6),"margem+comissão ≥ 100%"))</f>
        <v>15</v>
      </c>
      <c r="K9" s="15" t="n">
        <f aca="false">IF($A9="","",IF(ISNUMBER(J9),J9*(1-Taxas!$B$6)-E9-Taxas!$B$7,""))</f>
        <v>4.5</v>
      </c>
    </row>
    <row r="10" customFormat="false" ht="15" hidden="false" customHeight="true" outlineLevel="0" collapsed="false">
      <c r="A10" s="13" t="s">
        <v>50</v>
      </c>
      <c r="B10" s="10" t="n">
        <v>4</v>
      </c>
      <c r="C10" s="10" t="n">
        <v>1</v>
      </c>
      <c r="D10" s="8"/>
      <c r="E10" s="14" t="n">
        <f aca="false">IF($A10="","",B10+C10)</f>
        <v>5</v>
      </c>
      <c r="F10" s="14" t="n">
        <f aca="false">IF($A10="","",IFERROR(E10/(1-IF(D10="",Taxas!$B$8,D10)),"margem inválida"))</f>
        <v>7.14285714285714</v>
      </c>
      <c r="G10" s="15" t="n">
        <f aca="false">IF($A10="","",F10-E10)</f>
        <v>2.14285714285714</v>
      </c>
      <c r="H10" s="14" t="n">
        <f aca="false">IF($A10="","",IFERROR(IF(E10/(1-IF(D10="",Taxas!$B$8,D10)-Taxas!$B$4)&gt;=79,E10/(1-IF(D10="",Taxas!$B$8,D10)-Taxas!$B$4),(E10+Taxas!$B$5)/(1-IF(D10="",Taxas!$B$8,D10)-Taxas!$B$4)),"margem+comissão ≥ 100%"))</f>
        <v>20.1754385964912</v>
      </c>
      <c r="I10" s="15" t="n">
        <f aca="false">IF($A10="","",IF(ISNUMBER(H10),H10*(1-Taxas!$B$4)-E10-IF(H10&lt;79,Taxas!$B$5,0),""))</f>
        <v>6.05263157894737</v>
      </c>
      <c r="J10" s="14" t="n">
        <f aca="false">IF($A10="","",IFERROR((E10+Taxas!$B$7)/(1-IF(D10="",Taxas!$B$8,D10)-Taxas!$B$6),"margem+comissão ≥ 100%"))</f>
        <v>18</v>
      </c>
      <c r="K10" s="15" t="n">
        <f aca="false">IF($A10="","",IF(ISNUMBER(J10),J10*(1-Taxas!$B$6)-E10-Taxas!$B$7,""))</f>
        <v>5.4</v>
      </c>
    </row>
    <row r="11" customFormat="false" ht="15" hidden="false" customHeight="true" outlineLevel="0" collapsed="false">
      <c r="A11" s="13" t="s">
        <v>51</v>
      </c>
      <c r="B11" s="10" t="n">
        <v>12</v>
      </c>
      <c r="C11" s="10" t="n">
        <v>2.5</v>
      </c>
      <c r="D11" s="8"/>
      <c r="E11" s="14" t="n">
        <f aca="false">IF($A11="","",B11+C11)</f>
        <v>14.5</v>
      </c>
      <c r="F11" s="14" t="n">
        <f aca="false">IF($A11="","",IFERROR(E11/(1-IF(D11="",Taxas!$B$8,D11)),"margem inválida"))</f>
        <v>20.7142857142857</v>
      </c>
      <c r="G11" s="15" t="n">
        <f aca="false">IF($A11="","",F11-E11)</f>
        <v>6.21428571428572</v>
      </c>
      <c r="H11" s="14" t="n">
        <f aca="false">IF($A11="","",IFERROR(IF(E11/(1-IF(D11="",Taxas!$B$8,D11)-Taxas!$B$4)&gt;=79,E11/(1-IF(D11="",Taxas!$B$8,D11)-Taxas!$B$4),(E11+Taxas!$B$5)/(1-IF(D11="",Taxas!$B$8,D11)-Taxas!$B$4)),"margem+comissão ≥ 100%"))</f>
        <v>36.8421052631579</v>
      </c>
      <c r="I11" s="15" t="n">
        <f aca="false">IF($A11="","",IF(ISNUMBER(H11),H11*(1-Taxas!$B$4)-E11-IF(H11&lt;79,Taxas!$B$5,0),""))</f>
        <v>11.0526315789474</v>
      </c>
      <c r="J11" s="14" t="n">
        <f aca="false">IF($A11="","",IFERROR((E11+Taxas!$B$7)/(1-IF(D11="",Taxas!$B$8,D11)-Taxas!$B$6),"margem+comissão ≥ 100%"))</f>
        <v>37</v>
      </c>
      <c r="K11" s="15" t="n">
        <f aca="false">IF($A11="","",IF(ISNUMBER(J11),J11*(1-Taxas!$B$6)-E11-Taxas!$B$7,""))</f>
        <v>11.1</v>
      </c>
    </row>
    <row r="12" customFormat="false" ht="15" hidden="false" customHeight="true" outlineLevel="0" collapsed="false">
      <c r="A12" s="13" t="s">
        <v>52</v>
      </c>
      <c r="B12" s="10" t="n">
        <v>11</v>
      </c>
      <c r="C12" s="10" t="n">
        <v>1</v>
      </c>
      <c r="D12" s="8"/>
      <c r="E12" s="14" t="n">
        <f aca="false">IF($A12="","",B12+C12)</f>
        <v>12</v>
      </c>
      <c r="F12" s="14" t="n">
        <f aca="false">IF($A12="","",IFERROR(E12/(1-IF(D12="",Taxas!$B$8,D12)),"margem inválida"))</f>
        <v>17.1428571428571</v>
      </c>
      <c r="G12" s="15" t="n">
        <f aca="false">IF($A12="","",F12-E12)</f>
        <v>5.14285714285714</v>
      </c>
      <c r="H12" s="14" t="n">
        <f aca="false">IF($A12="","",IFERROR(IF(E12/(1-IF(D12="",Taxas!$B$8,D12)-Taxas!$B$4)&gt;=79,E12/(1-IF(D12="",Taxas!$B$8,D12)-Taxas!$B$4),(E12+Taxas!$B$5)/(1-IF(D12="",Taxas!$B$8,D12)-Taxas!$B$4)),"margem+comissão ≥ 100%"))</f>
        <v>32.4561403508772</v>
      </c>
      <c r="I12" s="15" t="n">
        <f aca="false">IF($A12="","",IF(ISNUMBER(H12),H12*(1-Taxas!$B$4)-E12-IF(H12&lt;79,Taxas!$B$5,0),""))</f>
        <v>9.73684210526316</v>
      </c>
      <c r="J12" s="14" t="n">
        <f aca="false">IF($A12="","",IFERROR((E12+Taxas!$B$7)/(1-IF(D12="",Taxas!$B$8,D12)-Taxas!$B$6),"margem+comissão ≥ 100%"))</f>
        <v>32</v>
      </c>
      <c r="K12" s="15" t="n">
        <f aca="false">IF($A12="","",IF(ISNUMBER(J12),J12*(1-Taxas!$B$6)-E12-Taxas!$B$7,""))</f>
        <v>9.60000000000001</v>
      </c>
    </row>
    <row r="13" customFormat="false" ht="15" hidden="false" customHeight="true" outlineLevel="0" collapsed="false">
      <c r="A13" s="13" t="s">
        <v>53</v>
      </c>
      <c r="B13" s="10" t="n">
        <v>28</v>
      </c>
      <c r="C13" s="10" t="n">
        <v>4</v>
      </c>
      <c r="D13" s="8"/>
      <c r="E13" s="14" t="n">
        <f aca="false">IF($A13="","",B13+C13)</f>
        <v>32</v>
      </c>
      <c r="F13" s="14" t="n">
        <f aca="false">IF($A13="","",IFERROR(E13/(1-IF(D13="",Taxas!$B$8,D13)),"margem inválida"))</f>
        <v>45.7142857142857</v>
      </c>
      <c r="G13" s="15" t="n">
        <f aca="false">IF($A13="","",F13-E13)</f>
        <v>13.7142857142857</v>
      </c>
      <c r="H13" s="14" t="n">
        <f aca="false">IF($A13="","",IFERROR(IF(E13/(1-IF(D13="",Taxas!$B$8,D13)-Taxas!$B$4)&gt;=79,E13/(1-IF(D13="",Taxas!$B$8,D13)-Taxas!$B$4),(E13+Taxas!$B$5)/(1-IF(D13="",Taxas!$B$8,D13)-Taxas!$B$4)),"margem+comissão ≥ 100%"))</f>
        <v>67.5438596491228</v>
      </c>
      <c r="I13" s="15" t="n">
        <f aca="false">IF($A13="","",IF(ISNUMBER(H13),H13*(1-Taxas!$B$4)-E13-IF(H13&lt;79,Taxas!$B$5,0),""))</f>
        <v>20.2631578947368</v>
      </c>
      <c r="J13" s="14" t="n">
        <f aca="false">IF($A13="","",IFERROR((E13+Taxas!$B$7)/(1-IF(D13="",Taxas!$B$8,D13)-Taxas!$B$6),"margem+comissão ≥ 100%"))</f>
        <v>72</v>
      </c>
      <c r="K13" s="15" t="n">
        <f aca="false">IF($A13="","",IF(ISNUMBER(J13),J13*(1-Taxas!$B$6)-E13-Taxas!$B$7,""))</f>
        <v>21.6</v>
      </c>
    </row>
    <row r="14" customFormat="false" ht="15" hidden="false" customHeight="true" outlineLevel="0" collapsed="false">
      <c r="A14" s="13" t="s">
        <v>54</v>
      </c>
      <c r="B14" s="10" t="n">
        <v>19</v>
      </c>
      <c r="C14" s="10" t="n">
        <v>2</v>
      </c>
      <c r="D14" s="8"/>
      <c r="E14" s="14" t="n">
        <f aca="false">IF($A14="","",B14+C14)</f>
        <v>21</v>
      </c>
      <c r="F14" s="14" t="n">
        <f aca="false">IF($A14="","",IFERROR(E14/(1-IF(D14="",Taxas!$B$8,D14)),"margem inválida"))</f>
        <v>30</v>
      </c>
      <c r="G14" s="15" t="n">
        <f aca="false">IF($A14="","",F14-E14)</f>
        <v>9</v>
      </c>
      <c r="H14" s="14" t="n">
        <f aca="false">IF($A14="","",IFERROR(IF(E14/(1-IF(D14="",Taxas!$B$8,D14)-Taxas!$B$4)&gt;=79,E14/(1-IF(D14="",Taxas!$B$8,D14)-Taxas!$B$4),(E14+Taxas!$B$5)/(1-IF(D14="",Taxas!$B$8,D14)-Taxas!$B$4)),"margem+comissão ≥ 100%"))</f>
        <v>48.2456140350877</v>
      </c>
      <c r="I14" s="15" t="n">
        <f aca="false">IF($A14="","",IF(ISNUMBER(H14),H14*(1-Taxas!$B$4)-E14-IF(H14&lt;79,Taxas!$B$5,0),""))</f>
        <v>14.4736842105263</v>
      </c>
      <c r="J14" s="14" t="n">
        <f aca="false">IF($A14="","",IFERROR((E14+Taxas!$B$7)/(1-IF(D14="",Taxas!$B$8,D14)-Taxas!$B$6),"margem+comissão ≥ 100%"))</f>
        <v>50</v>
      </c>
      <c r="K14" s="15" t="n">
        <f aca="false">IF($A14="","",IF(ISNUMBER(J14),J14*(1-Taxas!$B$6)-E14-Taxas!$B$7,""))</f>
        <v>15</v>
      </c>
    </row>
    <row r="15" customFormat="false" ht="15" hidden="false" customHeight="true" outlineLevel="0" collapsed="false">
      <c r="A15" s="13" t="s">
        <v>55</v>
      </c>
      <c r="B15" s="10" t="n">
        <v>24</v>
      </c>
      <c r="C15" s="10" t="n">
        <v>3</v>
      </c>
      <c r="D15" s="8"/>
      <c r="E15" s="14" t="n">
        <f aca="false">IF($A15="","",B15+C15)</f>
        <v>27</v>
      </c>
      <c r="F15" s="14" t="n">
        <f aca="false">IF($A15="","",IFERROR(E15/(1-IF(D15="",Taxas!$B$8,D15)),"margem inválida"))</f>
        <v>38.5714285714286</v>
      </c>
      <c r="G15" s="15" t="n">
        <f aca="false">IF($A15="","",F15-E15)</f>
        <v>11.5714285714286</v>
      </c>
      <c r="H15" s="14" t="n">
        <f aca="false">IF($A15="","",IFERROR(IF(E15/(1-IF(D15="",Taxas!$B$8,D15)-Taxas!$B$4)&gt;=79,E15/(1-IF(D15="",Taxas!$B$8,D15)-Taxas!$B$4),(E15+Taxas!$B$5)/(1-IF(D15="",Taxas!$B$8,D15)-Taxas!$B$4)),"margem+comissão ≥ 100%"))</f>
        <v>58.7719298245614</v>
      </c>
      <c r="I15" s="15" t="n">
        <f aca="false">IF($A15="","",IF(ISNUMBER(H15),H15*(1-Taxas!$B$4)-E15-IF(H15&lt;79,Taxas!$B$5,0),""))</f>
        <v>17.6315789473684</v>
      </c>
      <c r="J15" s="14" t="n">
        <f aca="false">IF($A15="","",IFERROR((E15+Taxas!$B$7)/(1-IF(D15="",Taxas!$B$8,D15)-Taxas!$B$6),"margem+comissão ≥ 100%"))</f>
        <v>62</v>
      </c>
      <c r="K15" s="15" t="n">
        <f aca="false">IF($A15="","",IF(ISNUMBER(J15),J15*(1-Taxas!$B$6)-E15-Taxas!$B$7,""))</f>
        <v>18.6</v>
      </c>
    </row>
    <row r="16" customFormat="false" ht="15" hidden="false" customHeight="true" outlineLevel="0" collapsed="false">
      <c r="A16" s="13" t="s">
        <v>56</v>
      </c>
      <c r="B16" s="10" t="n">
        <v>9</v>
      </c>
      <c r="C16" s="10" t="n">
        <v>1.5</v>
      </c>
      <c r="D16" s="8"/>
      <c r="E16" s="14" t="n">
        <f aca="false">IF($A16="","",B16+C16)</f>
        <v>10.5</v>
      </c>
      <c r="F16" s="14" t="n">
        <f aca="false">IF($A16="","",IFERROR(E16/(1-IF(D16="",Taxas!$B$8,D16)),"margem inválida"))</f>
        <v>15</v>
      </c>
      <c r="G16" s="15" t="n">
        <f aca="false">IF($A16="","",F16-E16)</f>
        <v>4.5</v>
      </c>
      <c r="H16" s="14" t="n">
        <f aca="false">IF($A16="","",IFERROR(IF(E16/(1-IF(D16="",Taxas!$B$8,D16)-Taxas!$B$4)&gt;=79,E16/(1-IF(D16="",Taxas!$B$8,D16)-Taxas!$B$4),(E16+Taxas!$B$5)/(1-IF(D16="",Taxas!$B$8,D16)-Taxas!$B$4)),"margem+comissão ≥ 100%"))</f>
        <v>29.8245614035088</v>
      </c>
      <c r="I16" s="15" t="n">
        <f aca="false">IF($A16="","",IF(ISNUMBER(H16),H16*(1-Taxas!$B$4)-E16-IF(H16&lt;79,Taxas!$B$5,0),""))</f>
        <v>8.94736842105263</v>
      </c>
      <c r="J16" s="14" t="n">
        <f aca="false">IF($A16="","",IFERROR((E16+Taxas!$B$7)/(1-IF(D16="",Taxas!$B$8,D16)-Taxas!$B$6),"margem+comissão ≥ 100%"))</f>
        <v>29</v>
      </c>
      <c r="K16" s="15" t="n">
        <f aca="false">IF($A16="","",IF(ISNUMBER(J16),J16*(1-Taxas!$B$6)-E16-Taxas!$B$7,""))</f>
        <v>8.7</v>
      </c>
    </row>
    <row r="17" customFormat="false" ht="15" hidden="false" customHeight="true" outlineLevel="0" collapsed="false">
      <c r="A17" s="13"/>
      <c r="B17" s="10"/>
      <c r="C17" s="10"/>
      <c r="D17" s="8"/>
      <c r="E17" s="14" t="str">
        <f aca="false">IF($A17="","",B17+C17)</f>
        <v/>
      </c>
      <c r="F17" s="14" t="str">
        <f aca="false">IF($A17="","",IFERROR(E17/(1-IF(D17="",Taxas!$B$8,D17)),"margem inválida"))</f>
        <v/>
      </c>
      <c r="G17" s="15" t="str">
        <f aca="false">IF($A17="","",F17-E17)</f>
        <v/>
      </c>
      <c r="H17" s="14" t="str">
        <f aca="false">IF($A17="","",IFERROR(IF(E17/(1-IF(D17="",Taxas!$B$8,D17)-Taxas!$B$4)&gt;=79,E17/(1-IF(D17="",Taxas!$B$8,D17)-Taxas!$B$4),(E17+Taxas!$B$5)/(1-IF(D17="",Taxas!$B$8,D17)-Taxas!$B$4)),"margem+comissão ≥ 100%"))</f>
        <v/>
      </c>
      <c r="I17" s="15" t="str">
        <f aca="false">IF($A17="","",IF(ISNUMBER(H17),H17*(1-Taxas!$B$4)-E17-IF(H17&lt;79,Taxas!$B$5,0),""))</f>
        <v/>
      </c>
      <c r="J17" s="14" t="str">
        <f aca="false">IF($A17="","",IFERROR((E17+Taxas!$B$7)/(1-IF(D17="",Taxas!$B$8,D17)-Taxas!$B$6),"margem+comissão ≥ 100%"))</f>
        <v/>
      </c>
      <c r="K17" s="15" t="str">
        <f aca="false">IF($A17="","",IF(ISNUMBER(J17),J17*(1-Taxas!$B$6)-E17-Taxas!$B$7,""))</f>
        <v/>
      </c>
    </row>
    <row r="18" customFormat="false" ht="15" hidden="false" customHeight="true" outlineLevel="0" collapsed="false">
      <c r="A18" s="13"/>
      <c r="B18" s="10"/>
      <c r="C18" s="10"/>
      <c r="D18" s="8"/>
      <c r="E18" s="14" t="str">
        <f aca="false">IF($A18="","",B18+C18)</f>
        <v/>
      </c>
      <c r="F18" s="14" t="str">
        <f aca="false">IF($A18="","",IFERROR(E18/(1-IF(D18="",Taxas!$B$8,D18)),"margem inválida"))</f>
        <v/>
      </c>
      <c r="G18" s="15" t="str">
        <f aca="false">IF($A18="","",F18-E18)</f>
        <v/>
      </c>
      <c r="H18" s="14" t="str">
        <f aca="false">IF($A18="","",IFERROR(IF(E18/(1-IF(D18="",Taxas!$B$8,D18)-Taxas!$B$4)&gt;=79,E18/(1-IF(D18="",Taxas!$B$8,D18)-Taxas!$B$4),(E18+Taxas!$B$5)/(1-IF(D18="",Taxas!$B$8,D18)-Taxas!$B$4)),"margem+comissão ≥ 100%"))</f>
        <v/>
      </c>
      <c r="I18" s="15" t="str">
        <f aca="false">IF($A18="","",IF(ISNUMBER(H18),H18*(1-Taxas!$B$4)-E18-IF(H18&lt;79,Taxas!$B$5,0),""))</f>
        <v/>
      </c>
      <c r="J18" s="14" t="str">
        <f aca="false">IF($A18="","",IFERROR((E18+Taxas!$B$7)/(1-IF(D18="",Taxas!$B$8,D18)-Taxas!$B$6),"margem+comissão ≥ 100%"))</f>
        <v/>
      </c>
      <c r="K18" s="15" t="str">
        <f aca="false">IF($A18="","",IF(ISNUMBER(J18),J18*(1-Taxas!$B$6)-E18-Taxas!$B$7,""))</f>
        <v/>
      </c>
    </row>
    <row r="19" customFormat="false" ht="15" hidden="false" customHeight="true" outlineLevel="0" collapsed="false">
      <c r="A19" s="13"/>
      <c r="B19" s="10"/>
      <c r="C19" s="10"/>
      <c r="D19" s="8"/>
      <c r="E19" s="14" t="str">
        <f aca="false">IF($A19="","",B19+C19)</f>
        <v/>
      </c>
      <c r="F19" s="14" t="str">
        <f aca="false">IF($A19="","",IFERROR(E19/(1-IF(D19="",Taxas!$B$8,D19)),"margem inválida"))</f>
        <v/>
      </c>
      <c r="G19" s="15" t="str">
        <f aca="false">IF($A19="","",F19-E19)</f>
        <v/>
      </c>
      <c r="H19" s="14" t="str">
        <f aca="false">IF($A19="","",IFERROR(IF(E19/(1-IF(D19="",Taxas!$B$8,D19)-Taxas!$B$4)&gt;=79,E19/(1-IF(D19="",Taxas!$B$8,D19)-Taxas!$B$4),(E19+Taxas!$B$5)/(1-IF(D19="",Taxas!$B$8,D19)-Taxas!$B$4)),"margem+comissão ≥ 100%"))</f>
        <v/>
      </c>
      <c r="I19" s="15" t="str">
        <f aca="false">IF($A19="","",IF(ISNUMBER(H19),H19*(1-Taxas!$B$4)-E19-IF(H19&lt;79,Taxas!$B$5,0),""))</f>
        <v/>
      </c>
      <c r="J19" s="14" t="str">
        <f aca="false">IF($A19="","",IFERROR((E19+Taxas!$B$7)/(1-IF(D19="",Taxas!$B$8,D19)-Taxas!$B$6),"margem+comissão ≥ 100%"))</f>
        <v/>
      </c>
      <c r="K19" s="15" t="str">
        <f aca="false">IF($A19="","",IF(ISNUMBER(J19),J19*(1-Taxas!$B$6)-E19-Taxas!$B$7,""))</f>
        <v/>
      </c>
    </row>
    <row r="20" customFormat="false" ht="15" hidden="false" customHeight="true" outlineLevel="0" collapsed="false">
      <c r="A20" s="13"/>
      <c r="B20" s="10"/>
      <c r="C20" s="10"/>
      <c r="D20" s="8"/>
      <c r="E20" s="14" t="str">
        <f aca="false">IF($A20="","",B20+C20)</f>
        <v/>
      </c>
      <c r="F20" s="14" t="str">
        <f aca="false">IF($A20="","",IFERROR(E20/(1-IF(D20="",Taxas!$B$8,D20)),"margem inválida"))</f>
        <v/>
      </c>
      <c r="G20" s="15" t="str">
        <f aca="false">IF($A20="","",F20-E20)</f>
        <v/>
      </c>
      <c r="H20" s="14" t="str">
        <f aca="false">IF($A20="","",IFERROR(IF(E20/(1-IF(D20="",Taxas!$B$8,D20)-Taxas!$B$4)&gt;=79,E20/(1-IF(D20="",Taxas!$B$8,D20)-Taxas!$B$4),(E20+Taxas!$B$5)/(1-IF(D20="",Taxas!$B$8,D20)-Taxas!$B$4)),"margem+comissão ≥ 100%"))</f>
        <v/>
      </c>
      <c r="I20" s="15" t="str">
        <f aca="false">IF($A20="","",IF(ISNUMBER(H20),H20*(1-Taxas!$B$4)-E20-IF(H20&lt;79,Taxas!$B$5,0),""))</f>
        <v/>
      </c>
      <c r="J20" s="14" t="str">
        <f aca="false">IF($A20="","",IFERROR((E20+Taxas!$B$7)/(1-IF(D20="",Taxas!$B$8,D20)-Taxas!$B$6),"margem+comissão ≥ 100%"))</f>
        <v/>
      </c>
      <c r="K20" s="15" t="str">
        <f aca="false">IF($A20="","",IF(ISNUMBER(J20),J20*(1-Taxas!$B$6)-E20-Taxas!$B$7,""))</f>
        <v/>
      </c>
    </row>
    <row r="21" customFormat="false" ht="15" hidden="false" customHeight="true" outlineLevel="0" collapsed="false">
      <c r="A21" s="13"/>
      <c r="B21" s="10"/>
      <c r="C21" s="10"/>
      <c r="D21" s="8"/>
      <c r="E21" s="14" t="str">
        <f aca="false">IF($A21="","",B21+C21)</f>
        <v/>
      </c>
      <c r="F21" s="14" t="str">
        <f aca="false">IF($A21="","",IFERROR(E21/(1-IF(D21="",Taxas!$B$8,D21)),"margem inválida"))</f>
        <v/>
      </c>
      <c r="G21" s="15" t="str">
        <f aca="false">IF($A21="","",F21-E21)</f>
        <v/>
      </c>
      <c r="H21" s="14" t="str">
        <f aca="false">IF($A21="","",IFERROR(IF(E21/(1-IF(D21="",Taxas!$B$8,D21)-Taxas!$B$4)&gt;=79,E21/(1-IF(D21="",Taxas!$B$8,D21)-Taxas!$B$4),(E21+Taxas!$B$5)/(1-IF(D21="",Taxas!$B$8,D21)-Taxas!$B$4)),"margem+comissão ≥ 100%"))</f>
        <v/>
      </c>
      <c r="I21" s="15" t="str">
        <f aca="false">IF($A21="","",IF(ISNUMBER(H21),H21*(1-Taxas!$B$4)-E21-IF(H21&lt;79,Taxas!$B$5,0),""))</f>
        <v/>
      </c>
      <c r="J21" s="14" t="str">
        <f aca="false">IF($A21="","",IFERROR((E21+Taxas!$B$7)/(1-IF(D21="",Taxas!$B$8,D21)-Taxas!$B$6),"margem+comissão ≥ 100%"))</f>
        <v/>
      </c>
      <c r="K21" s="15" t="str">
        <f aca="false">IF($A21="","",IF(ISNUMBER(J21),J21*(1-Taxas!$B$6)-E21-Taxas!$B$7,""))</f>
        <v/>
      </c>
    </row>
    <row r="22" customFormat="false" ht="15" hidden="false" customHeight="true" outlineLevel="0" collapsed="false">
      <c r="A22" s="13"/>
      <c r="B22" s="10"/>
      <c r="C22" s="10"/>
      <c r="D22" s="8"/>
      <c r="E22" s="14" t="str">
        <f aca="false">IF($A22="","",B22+C22)</f>
        <v/>
      </c>
      <c r="F22" s="14" t="str">
        <f aca="false">IF($A22="","",IFERROR(E22/(1-IF(D22="",Taxas!$B$8,D22)),"margem inválida"))</f>
        <v/>
      </c>
      <c r="G22" s="15" t="str">
        <f aca="false">IF($A22="","",F22-E22)</f>
        <v/>
      </c>
      <c r="H22" s="14" t="str">
        <f aca="false">IF($A22="","",IFERROR(IF(E22/(1-IF(D22="",Taxas!$B$8,D22)-Taxas!$B$4)&gt;=79,E22/(1-IF(D22="",Taxas!$B$8,D22)-Taxas!$B$4),(E22+Taxas!$B$5)/(1-IF(D22="",Taxas!$B$8,D22)-Taxas!$B$4)),"margem+comissão ≥ 100%"))</f>
        <v/>
      </c>
      <c r="I22" s="15" t="str">
        <f aca="false">IF($A22="","",IF(ISNUMBER(H22),H22*(1-Taxas!$B$4)-E22-IF(H22&lt;79,Taxas!$B$5,0),""))</f>
        <v/>
      </c>
      <c r="J22" s="14" t="str">
        <f aca="false">IF($A22="","",IFERROR((E22+Taxas!$B$7)/(1-IF(D22="",Taxas!$B$8,D22)-Taxas!$B$6),"margem+comissão ≥ 100%"))</f>
        <v/>
      </c>
      <c r="K22" s="15" t="str">
        <f aca="false">IF($A22="","",IF(ISNUMBER(J22),J22*(1-Taxas!$B$6)-E22-Taxas!$B$7,""))</f>
        <v/>
      </c>
    </row>
    <row r="23" customFormat="false" ht="15" hidden="false" customHeight="true" outlineLevel="0" collapsed="false">
      <c r="A23" s="13"/>
      <c r="B23" s="10"/>
      <c r="C23" s="10"/>
      <c r="D23" s="8"/>
      <c r="E23" s="14" t="str">
        <f aca="false">IF($A23="","",B23+C23)</f>
        <v/>
      </c>
      <c r="F23" s="14" t="str">
        <f aca="false">IF($A23="","",IFERROR(E23/(1-IF(D23="",Taxas!$B$8,D23)),"margem inválida"))</f>
        <v/>
      </c>
      <c r="G23" s="15" t="str">
        <f aca="false">IF($A23="","",F23-E23)</f>
        <v/>
      </c>
      <c r="H23" s="14" t="str">
        <f aca="false">IF($A23="","",IFERROR(IF(E23/(1-IF(D23="",Taxas!$B$8,D23)-Taxas!$B$4)&gt;=79,E23/(1-IF(D23="",Taxas!$B$8,D23)-Taxas!$B$4),(E23+Taxas!$B$5)/(1-IF(D23="",Taxas!$B$8,D23)-Taxas!$B$4)),"margem+comissão ≥ 100%"))</f>
        <v/>
      </c>
      <c r="I23" s="15" t="str">
        <f aca="false">IF($A23="","",IF(ISNUMBER(H23),H23*(1-Taxas!$B$4)-E23-IF(H23&lt;79,Taxas!$B$5,0),""))</f>
        <v/>
      </c>
      <c r="J23" s="14" t="str">
        <f aca="false">IF($A23="","",IFERROR((E23+Taxas!$B$7)/(1-IF(D23="",Taxas!$B$8,D23)-Taxas!$B$6),"margem+comissão ≥ 100%"))</f>
        <v/>
      </c>
      <c r="K23" s="15" t="str">
        <f aca="false">IF($A23="","",IF(ISNUMBER(J23),J23*(1-Taxas!$B$6)-E23-Taxas!$B$7,""))</f>
        <v/>
      </c>
    </row>
    <row r="24" customFormat="false" ht="15" hidden="false" customHeight="true" outlineLevel="0" collapsed="false">
      <c r="A24" s="13"/>
      <c r="B24" s="10"/>
      <c r="C24" s="10"/>
      <c r="D24" s="8"/>
      <c r="E24" s="14" t="str">
        <f aca="false">IF($A24="","",B24+C24)</f>
        <v/>
      </c>
      <c r="F24" s="14" t="str">
        <f aca="false">IF($A24="","",IFERROR(E24/(1-IF(D24="",Taxas!$B$8,D24)),"margem inválida"))</f>
        <v/>
      </c>
      <c r="G24" s="15" t="str">
        <f aca="false">IF($A24="","",F24-E24)</f>
        <v/>
      </c>
      <c r="H24" s="14" t="str">
        <f aca="false">IF($A24="","",IFERROR(IF(E24/(1-IF(D24="",Taxas!$B$8,D24)-Taxas!$B$4)&gt;=79,E24/(1-IF(D24="",Taxas!$B$8,D24)-Taxas!$B$4),(E24+Taxas!$B$5)/(1-IF(D24="",Taxas!$B$8,D24)-Taxas!$B$4)),"margem+comissão ≥ 100%"))</f>
        <v/>
      </c>
      <c r="I24" s="15" t="str">
        <f aca="false">IF($A24="","",IF(ISNUMBER(H24),H24*(1-Taxas!$B$4)-E24-IF(H24&lt;79,Taxas!$B$5,0),""))</f>
        <v/>
      </c>
      <c r="J24" s="14" t="str">
        <f aca="false">IF($A24="","",IFERROR((E24+Taxas!$B$7)/(1-IF(D24="",Taxas!$B$8,D24)-Taxas!$B$6),"margem+comissão ≥ 100%"))</f>
        <v/>
      </c>
      <c r="K24" s="15" t="str">
        <f aca="false">IF($A24="","",IF(ISNUMBER(J24),J24*(1-Taxas!$B$6)-E24-Taxas!$B$7,""))</f>
        <v/>
      </c>
    </row>
    <row r="25" customFormat="false" ht="15" hidden="false" customHeight="true" outlineLevel="0" collapsed="false">
      <c r="A25" s="13"/>
      <c r="B25" s="10"/>
      <c r="C25" s="10"/>
      <c r="D25" s="8"/>
      <c r="E25" s="14" t="str">
        <f aca="false">IF($A25="","",B25+C25)</f>
        <v/>
      </c>
      <c r="F25" s="14" t="str">
        <f aca="false">IF($A25="","",IFERROR(E25/(1-IF(D25="",Taxas!$B$8,D25)),"margem inválida"))</f>
        <v/>
      </c>
      <c r="G25" s="15" t="str">
        <f aca="false">IF($A25="","",F25-E25)</f>
        <v/>
      </c>
      <c r="H25" s="14" t="str">
        <f aca="false">IF($A25="","",IFERROR(IF(E25/(1-IF(D25="",Taxas!$B$8,D25)-Taxas!$B$4)&gt;=79,E25/(1-IF(D25="",Taxas!$B$8,D25)-Taxas!$B$4),(E25+Taxas!$B$5)/(1-IF(D25="",Taxas!$B$8,D25)-Taxas!$B$4)),"margem+comissão ≥ 100%"))</f>
        <v/>
      </c>
      <c r="I25" s="15" t="str">
        <f aca="false">IF($A25="","",IF(ISNUMBER(H25),H25*(1-Taxas!$B$4)-E25-IF(H25&lt;79,Taxas!$B$5,0),""))</f>
        <v/>
      </c>
      <c r="J25" s="14" t="str">
        <f aca="false">IF($A25="","",IFERROR((E25+Taxas!$B$7)/(1-IF(D25="",Taxas!$B$8,D25)-Taxas!$B$6),"margem+comissão ≥ 100%"))</f>
        <v/>
      </c>
      <c r="K25" s="15" t="str">
        <f aca="false">IF($A25="","",IF(ISNUMBER(J25),J25*(1-Taxas!$B$6)-E25-Taxas!$B$7,""))</f>
        <v/>
      </c>
    </row>
    <row r="26" customFormat="false" ht="15" hidden="false" customHeight="true" outlineLevel="0" collapsed="false">
      <c r="A26" s="13"/>
      <c r="B26" s="10"/>
      <c r="C26" s="10"/>
      <c r="D26" s="8"/>
      <c r="E26" s="14" t="str">
        <f aca="false">IF($A26="","",B26+C26)</f>
        <v/>
      </c>
      <c r="F26" s="14" t="str">
        <f aca="false">IF($A26="","",IFERROR(E26/(1-IF(D26="",Taxas!$B$8,D26)),"margem inválida"))</f>
        <v/>
      </c>
      <c r="G26" s="15" t="str">
        <f aca="false">IF($A26="","",F26-E26)</f>
        <v/>
      </c>
      <c r="H26" s="14" t="str">
        <f aca="false">IF($A26="","",IFERROR(IF(E26/(1-IF(D26="",Taxas!$B$8,D26)-Taxas!$B$4)&gt;=79,E26/(1-IF(D26="",Taxas!$B$8,D26)-Taxas!$B$4),(E26+Taxas!$B$5)/(1-IF(D26="",Taxas!$B$8,D26)-Taxas!$B$4)),"margem+comissão ≥ 100%"))</f>
        <v/>
      </c>
      <c r="I26" s="15" t="str">
        <f aca="false">IF($A26="","",IF(ISNUMBER(H26),H26*(1-Taxas!$B$4)-E26-IF(H26&lt;79,Taxas!$B$5,0),""))</f>
        <v/>
      </c>
      <c r="J26" s="14" t="str">
        <f aca="false">IF($A26="","",IFERROR((E26+Taxas!$B$7)/(1-IF(D26="",Taxas!$B$8,D26)-Taxas!$B$6),"margem+comissão ≥ 100%"))</f>
        <v/>
      </c>
      <c r="K26" s="15" t="str">
        <f aca="false">IF($A26="","",IF(ISNUMBER(J26),J26*(1-Taxas!$B$6)-E26-Taxas!$B$7,""))</f>
        <v/>
      </c>
    </row>
    <row r="27" customFormat="false" ht="15" hidden="false" customHeight="true" outlineLevel="0" collapsed="false">
      <c r="A27" s="13"/>
      <c r="B27" s="10"/>
      <c r="C27" s="10"/>
      <c r="D27" s="8"/>
      <c r="E27" s="14" t="str">
        <f aca="false">IF($A27="","",B27+C27)</f>
        <v/>
      </c>
      <c r="F27" s="14" t="str">
        <f aca="false">IF($A27="","",IFERROR(E27/(1-IF(D27="",Taxas!$B$8,D27)),"margem inválida"))</f>
        <v/>
      </c>
      <c r="G27" s="15" t="str">
        <f aca="false">IF($A27="","",F27-E27)</f>
        <v/>
      </c>
      <c r="H27" s="14" t="str">
        <f aca="false">IF($A27="","",IFERROR(IF(E27/(1-IF(D27="",Taxas!$B$8,D27)-Taxas!$B$4)&gt;=79,E27/(1-IF(D27="",Taxas!$B$8,D27)-Taxas!$B$4),(E27+Taxas!$B$5)/(1-IF(D27="",Taxas!$B$8,D27)-Taxas!$B$4)),"margem+comissão ≥ 100%"))</f>
        <v/>
      </c>
      <c r="I27" s="15" t="str">
        <f aca="false">IF($A27="","",IF(ISNUMBER(H27),H27*(1-Taxas!$B$4)-E27-IF(H27&lt;79,Taxas!$B$5,0),""))</f>
        <v/>
      </c>
      <c r="J27" s="14" t="str">
        <f aca="false">IF($A27="","",IFERROR((E27+Taxas!$B$7)/(1-IF(D27="",Taxas!$B$8,D27)-Taxas!$B$6),"margem+comissão ≥ 100%"))</f>
        <v/>
      </c>
      <c r="K27" s="15" t="str">
        <f aca="false">IF($A27="","",IF(ISNUMBER(J27),J27*(1-Taxas!$B$6)-E27-Taxas!$B$7,""))</f>
        <v/>
      </c>
    </row>
    <row r="28" customFormat="false" ht="15" hidden="false" customHeight="true" outlineLevel="0" collapsed="false">
      <c r="A28" s="13"/>
      <c r="B28" s="10"/>
      <c r="C28" s="10"/>
      <c r="D28" s="8"/>
      <c r="E28" s="14" t="str">
        <f aca="false">IF($A28="","",B28+C28)</f>
        <v/>
      </c>
      <c r="F28" s="14" t="str">
        <f aca="false">IF($A28="","",IFERROR(E28/(1-IF(D28="",Taxas!$B$8,D28)),"margem inválida"))</f>
        <v/>
      </c>
      <c r="G28" s="15" t="str">
        <f aca="false">IF($A28="","",F28-E28)</f>
        <v/>
      </c>
      <c r="H28" s="14" t="str">
        <f aca="false">IF($A28="","",IFERROR(IF(E28/(1-IF(D28="",Taxas!$B$8,D28)-Taxas!$B$4)&gt;=79,E28/(1-IF(D28="",Taxas!$B$8,D28)-Taxas!$B$4),(E28+Taxas!$B$5)/(1-IF(D28="",Taxas!$B$8,D28)-Taxas!$B$4)),"margem+comissão ≥ 100%"))</f>
        <v/>
      </c>
      <c r="I28" s="15" t="str">
        <f aca="false">IF($A28="","",IF(ISNUMBER(H28),H28*(1-Taxas!$B$4)-E28-IF(H28&lt;79,Taxas!$B$5,0),""))</f>
        <v/>
      </c>
      <c r="J28" s="14" t="str">
        <f aca="false">IF($A28="","",IFERROR((E28+Taxas!$B$7)/(1-IF(D28="",Taxas!$B$8,D28)-Taxas!$B$6),"margem+comissão ≥ 100%"))</f>
        <v/>
      </c>
      <c r="K28" s="15" t="str">
        <f aca="false">IF($A28="","",IF(ISNUMBER(J28),J28*(1-Taxas!$B$6)-E28-Taxas!$B$7,""))</f>
        <v/>
      </c>
    </row>
    <row r="29" customFormat="false" ht="15" hidden="false" customHeight="true" outlineLevel="0" collapsed="false">
      <c r="A29" s="13"/>
      <c r="B29" s="10"/>
      <c r="C29" s="10"/>
      <c r="D29" s="8"/>
      <c r="E29" s="14" t="str">
        <f aca="false">IF($A29="","",B29+C29)</f>
        <v/>
      </c>
      <c r="F29" s="14" t="str">
        <f aca="false">IF($A29="","",IFERROR(E29/(1-IF(D29="",Taxas!$B$8,D29)),"margem inválida"))</f>
        <v/>
      </c>
      <c r="G29" s="15" t="str">
        <f aca="false">IF($A29="","",F29-E29)</f>
        <v/>
      </c>
      <c r="H29" s="14" t="str">
        <f aca="false">IF($A29="","",IFERROR(IF(E29/(1-IF(D29="",Taxas!$B$8,D29)-Taxas!$B$4)&gt;=79,E29/(1-IF(D29="",Taxas!$B$8,D29)-Taxas!$B$4),(E29+Taxas!$B$5)/(1-IF(D29="",Taxas!$B$8,D29)-Taxas!$B$4)),"margem+comissão ≥ 100%"))</f>
        <v/>
      </c>
      <c r="I29" s="15" t="str">
        <f aca="false">IF($A29="","",IF(ISNUMBER(H29),H29*(1-Taxas!$B$4)-E29-IF(H29&lt;79,Taxas!$B$5,0),""))</f>
        <v/>
      </c>
      <c r="J29" s="14" t="str">
        <f aca="false">IF($A29="","",IFERROR((E29+Taxas!$B$7)/(1-IF(D29="",Taxas!$B$8,D29)-Taxas!$B$6),"margem+comissão ≥ 100%"))</f>
        <v/>
      </c>
      <c r="K29" s="15" t="str">
        <f aca="false">IF($A29="","",IF(ISNUMBER(J29),J29*(1-Taxas!$B$6)-E29-Taxas!$B$7,""))</f>
        <v/>
      </c>
    </row>
    <row r="30" customFormat="false" ht="15" hidden="false" customHeight="true" outlineLevel="0" collapsed="false">
      <c r="A30" s="13"/>
      <c r="B30" s="10"/>
      <c r="C30" s="10"/>
      <c r="D30" s="8"/>
      <c r="E30" s="14" t="str">
        <f aca="false">IF($A30="","",B30+C30)</f>
        <v/>
      </c>
      <c r="F30" s="14" t="str">
        <f aca="false">IF($A30="","",IFERROR(E30/(1-IF(D30="",Taxas!$B$8,D30)),"margem inválida"))</f>
        <v/>
      </c>
      <c r="G30" s="15" t="str">
        <f aca="false">IF($A30="","",F30-E30)</f>
        <v/>
      </c>
      <c r="H30" s="14" t="str">
        <f aca="false">IF($A30="","",IFERROR(IF(E30/(1-IF(D30="",Taxas!$B$8,D30)-Taxas!$B$4)&gt;=79,E30/(1-IF(D30="",Taxas!$B$8,D30)-Taxas!$B$4),(E30+Taxas!$B$5)/(1-IF(D30="",Taxas!$B$8,D30)-Taxas!$B$4)),"margem+comissão ≥ 100%"))</f>
        <v/>
      </c>
      <c r="I30" s="15" t="str">
        <f aca="false">IF($A30="","",IF(ISNUMBER(H30),H30*(1-Taxas!$B$4)-E30-IF(H30&lt;79,Taxas!$B$5,0),""))</f>
        <v/>
      </c>
      <c r="J30" s="14" t="str">
        <f aca="false">IF($A30="","",IFERROR((E30+Taxas!$B$7)/(1-IF(D30="",Taxas!$B$8,D30)-Taxas!$B$6),"margem+comissão ≥ 100%"))</f>
        <v/>
      </c>
      <c r="K30" s="15" t="str">
        <f aca="false">IF($A30="","",IF(ISNUMBER(J30),J30*(1-Taxas!$B$6)-E30-Taxas!$B$7,""))</f>
        <v/>
      </c>
    </row>
    <row r="31" customFormat="false" ht="15" hidden="false" customHeight="true" outlineLevel="0" collapsed="false">
      <c r="A31" s="13"/>
      <c r="B31" s="10"/>
      <c r="C31" s="10"/>
      <c r="D31" s="8"/>
      <c r="E31" s="14" t="str">
        <f aca="false">IF($A31="","",B31+C31)</f>
        <v/>
      </c>
      <c r="F31" s="14" t="str">
        <f aca="false">IF($A31="","",IFERROR(E31/(1-IF(D31="",Taxas!$B$8,D31)),"margem inválida"))</f>
        <v/>
      </c>
      <c r="G31" s="15" t="str">
        <f aca="false">IF($A31="","",F31-E31)</f>
        <v/>
      </c>
      <c r="H31" s="14" t="str">
        <f aca="false">IF($A31="","",IFERROR(IF(E31/(1-IF(D31="",Taxas!$B$8,D31)-Taxas!$B$4)&gt;=79,E31/(1-IF(D31="",Taxas!$B$8,D31)-Taxas!$B$4),(E31+Taxas!$B$5)/(1-IF(D31="",Taxas!$B$8,D31)-Taxas!$B$4)),"margem+comissão ≥ 100%"))</f>
        <v/>
      </c>
      <c r="I31" s="15" t="str">
        <f aca="false">IF($A31="","",IF(ISNUMBER(H31),H31*(1-Taxas!$B$4)-E31-IF(H31&lt;79,Taxas!$B$5,0),""))</f>
        <v/>
      </c>
      <c r="J31" s="14" t="str">
        <f aca="false">IF($A31="","",IFERROR((E31+Taxas!$B$7)/(1-IF(D31="",Taxas!$B$8,D31)-Taxas!$B$6),"margem+comissão ≥ 100%"))</f>
        <v/>
      </c>
      <c r="K31" s="15" t="str">
        <f aca="false">IF($A31="","",IF(ISNUMBER(J31),J31*(1-Taxas!$B$6)-E31-Taxas!$B$7,""))</f>
        <v/>
      </c>
    </row>
    <row r="32" customFormat="false" ht="15" hidden="false" customHeight="true" outlineLevel="0" collapsed="false">
      <c r="A32" s="13"/>
      <c r="B32" s="10"/>
      <c r="C32" s="10"/>
      <c r="D32" s="8"/>
      <c r="E32" s="14" t="str">
        <f aca="false">IF($A32="","",B32+C32)</f>
        <v/>
      </c>
      <c r="F32" s="14" t="str">
        <f aca="false">IF($A32="","",IFERROR(E32/(1-IF(D32="",Taxas!$B$8,D32)),"margem inválida"))</f>
        <v/>
      </c>
      <c r="G32" s="15" t="str">
        <f aca="false">IF($A32="","",F32-E32)</f>
        <v/>
      </c>
      <c r="H32" s="14" t="str">
        <f aca="false">IF($A32="","",IFERROR(IF(E32/(1-IF(D32="",Taxas!$B$8,D32)-Taxas!$B$4)&gt;=79,E32/(1-IF(D32="",Taxas!$B$8,D32)-Taxas!$B$4),(E32+Taxas!$B$5)/(1-IF(D32="",Taxas!$B$8,D32)-Taxas!$B$4)),"margem+comissão ≥ 100%"))</f>
        <v/>
      </c>
      <c r="I32" s="15" t="str">
        <f aca="false">IF($A32="","",IF(ISNUMBER(H32),H32*(1-Taxas!$B$4)-E32-IF(H32&lt;79,Taxas!$B$5,0),""))</f>
        <v/>
      </c>
      <c r="J32" s="14" t="str">
        <f aca="false">IF($A32="","",IFERROR((E32+Taxas!$B$7)/(1-IF(D32="",Taxas!$B$8,D32)-Taxas!$B$6),"margem+comissão ≥ 100%"))</f>
        <v/>
      </c>
      <c r="K32" s="15" t="str">
        <f aca="false">IF($A32="","",IF(ISNUMBER(J32),J32*(1-Taxas!$B$6)-E32-Taxas!$B$7,""))</f>
        <v/>
      </c>
    </row>
    <row r="33" customFormat="false" ht="15" hidden="false" customHeight="true" outlineLevel="0" collapsed="false">
      <c r="A33" s="13"/>
      <c r="B33" s="10"/>
      <c r="C33" s="10"/>
      <c r="D33" s="8"/>
      <c r="E33" s="14" t="str">
        <f aca="false">IF($A33="","",B33+C33)</f>
        <v/>
      </c>
      <c r="F33" s="14" t="str">
        <f aca="false">IF($A33="","",IFERROR(E33/(1-IF(D33="",Taxas!$B$8,D33)),"margem inválida"))</f>
        <v/>
      </c>
      <c r="G33" s="15" t="str">
        <f aca="false">IF($A33="","",F33-E33)</f>
        <v/>
      </c>
      <c r="H33" s="14" t="str">
        <f aca="false">IF($A33="","",IFERROR(IF(E33/(1-IF(D33="",Taxas!$B$8,D33)-Taxas!$B$4)&gt;=79,E33/(1-IF(D33="",Taxas!$B$8,D33)-Taxas!$B$4),(E33+Taxas!$B$5)/(1-IF(D33="",Taxas!$B$8,D33)-Taxas!$B$4)),"margem+comissão ≥ 100%"))</f>
        <v/>
      </c>
      <c r="I33" s="15" t="str">
        <f aca="false">IF($A33="","",IF(ISNUMBER(H33),H33*(1-Taxas!$B$4)-E33-IF(H33&lt;79,Taxas!$B$5,0),""))</f>
        <v/>
      </c>
      <c r="J33" s="14" t="str">
        <f aca="false">IF($A33="","",IFERROR((E33+Taxas!$B$7)/(1-IF(D33="",Taxas!$B$8,D33)-Taxas!$B$6),"margem+comissão ≥ 100%"))</f>
        <v/>
      </c>
      <c r="K33" s="15" t="str">
        <f aca="false">IF($A33="","",IF(ISNUMBER(J33),J33*(1-Taxas!$B$6)-E33-Taxas!$B$7,""))</f>
        <v/>
      </c>
    </row>
    <row r="34" customFormat="false" ht="15" hidden="false" customHeight="true" outlineLevel="0" collapsed="false">
      <c r="A34" s="13"/>
      <c r="B34" s="10"/>
      <c r="C34" s="10"/>
      <c r="D34" s="8"/>
      <c r="E34" s="14" t="str">
        <f aca="false">IF($A34="","",B34+C34)</f>
        <v/>
      </c>
      <c r="F34" s="14" t="str">
        <f aca="false">IF($A34="","",IFERROR(E34/(1-IF(D34="",Taxas!$B$8,D34)),"margem inválida"))</f>
        <v/>
      </c>
      <c r="G34" s="15" t="str">
        <f aca="false">IF($A34="","",F34-E34)</f>
        <v/>
      </c>
      <c r="H34" s="14" t="str">
        <f aca="false">IF($A34="","",IFERROR(IF(E34/(1-IF(D34="",Taxas!$B$8,D34)-Taxas!$B$4)&gt;=79,E34/(1-IF(D34="",Taxas!$B$8,D34)-Taxas!$B$4),(E34+Taxas!$B$5)/(1-IF(D34="",Taxas!$B$8,D34)-Taxas!$B$4)),"margem+comissão ≥ 100%"))</f>
        <v/>
      </c>
      <c r="I34" s="15" t="str">
        <f aca="false">IF($A34="","",IF(ISNUMBER(H34),H34*(1-Taxas!$B$4)-E34-IF(H34&lt;79,Taxas!$B$5,0),""))</f>
        <v/>
      </c>
      <c r="J34" s="14" t="str">
        <f aca="false">IF($A34="","",IFERROR((E34+Taxas!$B$7)/(1-IF(D34="",Taxas!$B$8,D34)-Taxas!$B$6),"margem+comissão ≥ 100%"))</f>
        <v/>
      </c>
      <c r="K34" s="15" t="str">
        <f aca="false">IF($A34="","",IF(ISNUMBER(J34),J34*(1-Taxas!$B$6)-E34-Taxas!$B$7,""))</f>
        <v/>
      </c>
    </row>
    <row r="36" customFormat="false" ht="15" hidden="false" customHeight="true" outlineLevel="0" collapsed="false">
      <c r="A36" s="11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6" t="s">
        <v>58</v>
      </c>
    </row>
    <row r="2" customFormat="false" ht="15" hidden="false" customHeight="false" outlineLevel="0" collapsed="false">
      <c r="A2" s="17" t="s">
        <v>59</v>
      </c>
    </row>
    <row r="4" customFormat="false" ht="15" hidden="false" customHeight="false" outlineLevel="0" collapsed="false">
      <c r="A4" s="18" t="s">
        <v>60</v>
      </c>
      <c r="B4" s="19" t="s">
        <v>61</v>
      </c>
      <c r="C4" s="19" t="s">
        <v>62</v>
      </c>
      <c r="D4" s="19" t="s">
        <v>63</v>
      </c>
    </row>
    <row r="5" customFormat="false" ht="15" hidden="false" customHeight="false" outlineLevel="0" collapsed="false">
      <c r="A5" s="20" t="s">
        <v>64</v>
      </c>
      <c r="B5" s="21" t="n">
        <v>600</v>
      </c>
      <c r="C5" s="21" t="n">
        <v>900</v>
      </c>
      <c r="D5" s="21" t="n">
        <v>1500</v>
      </c>
    </row>
    <row r="6" customFormat="false" ht="15" hidden="false" customHeight="false" outlineLevel="0" collapsed="false">
      <c r="A6" s="20" t="s">
        <v>65</v>
      </c>
      <c r="B6" s="21" t="n">
        <v>1.2</v>
      </c>
      <c r="C6" s="21" t="n">
        <v>1</v>
      </c>
      <c r="D6" s="21" t="n">
        <v>0.8</v>
      </c>
    </row>
    <row r="7" customFormat="false" ht="15" hidden="false" customHeight="false" outlineLevel="0" collapsed="false">
      <c r="A7" s="20" t="s">
        <v>66</v>
      </c>
      <c r="B7" s="22" t="n">
        <v>0.01</v>
      </c>
      <c r="C7" s="22" t="n">
        <v>0.015</v>
      </c>
      <c r="D7" s="22" t="n">
        <v>0.025</v>
      </c>
    </row>
    <row r="8" customFormat="false" ht="15" hidden="false" customHeight="false" outlineLevel="0" collapsed="false">
      <c r="A8" s="20" t="s">
        <v>67</v>
      </c>
      <c r="B8" s="21" t="n">
        <v>85</v>
      </c>
      <c r="C8" s="21" t="n">
        <v>90</v>
      </c>
      <c r="D8" s="21" t="n">
        <v>100</v>
      </c>
    </row>
    <row r="9" customFormat="false" ht="15" hidden="false" customHeight="false" outlineLevel="0" collapsed="false">
      <c r="A9" s="20" t="s">
        <v>68</v>
      </c>
      <c r="B9" s="22" t="n">
        <v>0.3</v>
      </c>
      <c r="C9" s="22" t="n">
        <v>0.3</v>
      </c>
      <c r="D9" s="22" t="n">
        <v>0.3</v>
      </c>
    </row>
    <row r="10" customFormat="false" ht="15" hidden="false" customHeight="false" outlineLevel="0" collapsed="false">
      <c r="A10" s="20" t="s">
        <v>69</v>
      </c>
      <c r="B10" s="23" t="n">
        <v>20</v>
      </c>
      <c r="C10" s="23" t="n">
        <v>45</v>
      </c>
      <c r="D10" s="23" t="n">
        <v>90</v>
      </c>
    </row>
    <row r="11" customFormat="false" ht="15" hidden="false" customHeight="false" outlineLevel="0" collapsed="false">
      <c r="A11" s="20" t="s">
        <v>70</v>
      </c>
      <c r="B11" s="23" t="n">
        <v>10</v>
      </c>
      <c r="C11" s="23" t="n">
        <v>30</v>
      </c>
      <c r="D11" s="23" t="n">
        <v>60</v>
      </c>
    </row>
    <row r="13" customFormat="false" ht="15" hidden="false" customHeight="false" outlineLevel="0" collapsed="false">
      <c r="A13" s="18" t="s">
        <v>71</v>
      </c>
      <c r="B13" s="19" t="s">
        <v>61</v>
      </c>
      <c r="C13" s="19" t="s">
        <v>62</v>
      </c>
      <c r="D13" s="19" t="s">
        <v>63</v>
      </c>
    </row>
    <row r="14" customFormat="false" ht="15" hidden="false" customHeight="false" outlineLevel="0" collapsed="false">
      <c r="A14" s="20" t="s">
        <v>72</v>
      </c>
      <c r="B14" s="24" t="n">
        <f aca="false">B5/B6</f>
        <v>500</v>
      </c>
      <c r="C14" s="24" t="n">
        <f aca="false">C5/C6</f>
        <v>900</v>
      </c>
      <c r="D14" s="24" t="n">
        <f aca="false">D5/D6</f>
        <v>1875</v>
      </c>
    </row>
    <row r="15" customFormat="false" ht="15" hidden="false" customHeight="false" outlineLevel="0" collapsed="false">
      <c r="A15" s="20" t="s">
        <v>73</v>
      </c>
      <c r="B15" s="24" t="n">
        <f aca="false">ROUND(B14*B7,0)</f>
        <v>5</v>
      </c>
      <c r="C15" s="24" t="n">
        <f aca="false">ROUND(C14*C7,0)</f>
        <v>14</v>
      </c>
      <c r="D15" s="24" t="n">
        <f aca="false">ROUND(D14*D7,0)</f>
        <v>47</v>
      </c>
    </row>
    <row r="16" customFormat="false" ht="15" hidden="false" customHeight="false" outlineLevel="0" collapsed="false">
      <c r="A16" s="20" t="s">
        <v>74</v>
      </c>
      <c r="B16" s="24" t="n">
        <f aca="false">B15+B10+B11</f>
        <v>35</v>
      </c>
      <c r="C16" s="24" t="n">
        <f aca="false">C15+C10+C11</f>
        <v>89</v>
      </c>
      <c r="D16" s="24" t="n">
        <f aca="false">D15+D10+D11</f>
        <v>197</v>
      </c>
    </row>
    <row r="17" customFormat="false" ht="15" hidden="false" customHeight="false" outlineLevel="0" collapsed="false">
      <c r="A17" s="20" t="s">
        <v>75</v>
      </c>
      <c r="B17" s="25" t="n">
        <f aca="false">B16*B8</f>
        <v>2975</v>
      </c>
      <c r="C17" s="25" t="n">
        <f aca="false">C16*C8</f>
        <v>8010</v>
      </c>
      <c r="D17" s="25" t="n">
        <f aca="false">D16*D8</f>
        <v>19700</v>
      </c>
    </row>
    <row r="18" customFormat="false" ht="15" hidden="false" customHeight="false" outlineLevel="0" collapsed="false">
      <c r="A18" s="20" t="s">
        <v>76</v>
      </c>
      <c r="B18" s="25" t="n">
        <f aca="false">B17*B9</f>
        <v>892.5</v>
      </c>
      <c r="C18" s="25" t="n">
        <f aca="false">C17*C9</f>
        <v>2403</v>
      </c>
      <c r="D18" s="25" t="n">
        <f aca="false">D17*D9</f>
        <v>5910</v>
      </c>
    </row>
    <row r="19" customFormat="false" ht="15" hidden="false" customHeight="false" outlineLevel="0" collapsed="false">
      <c r="A19" s="20" t="s">
        <v>77</v>
      </c>
      <c r="B19" s="25" t="n">
        <f aca="false">-B5</f>
        <v>-600</v>
      </c>
      <c r="C19" s="25" t="n">
        <f aca="false">-C5</f>
        <v>-900</v>
      </c>
      <c r="D19" s="25" t="n">
        <f aca="false">-D5</f>
        <v>-1500</v>
      </c>
    </row>
    <row r="20" customFormat="false" ht="15" hidden="false" customHeight="false" outlineLevel="0" collapsed="false">
      <c r="A20" s="26" t="s">
        <v>78</v>
      </c>
      <c r="B20" s="27" t="n">
        <f aca="false">B18+B19</f>
        <v>292.5</v>
      </c>
      <c r="C20" s="27" t="n">
        <f aca="false">C18+C19</f>
        <v>1503</v>
      </c>
      <c r="D20" s="27" t="n">
        <f aca="false">D18+D19</f>
        <v>4410</v>
      </c>
    </row>
    <row r="21" customFormat="false" ht="15" hidden="false" customHeight="false" outlineLevel="0" collapsed="false">
      <c r="A21" s="20" t="s">
        <v>79</v>
      </c>
      <c r="B21" s="28" t="n">
        <f aca="false">IF(B17=0,0,B20/B17)</f>
        <v>0.0983193277310924</v>
      </c>
      <c r="C21" s="28" t="n">
        <f aca="false">IF(C17=0,0,C20/C17)</f>
        <v>0.187640449438202</v>
      </c>
      <c r="D21" s="28" t="n">
        <f aca="false">IF(D17=0,0,D20/D17)</f>
        <v>0.223857868020305</v>
      </c>
    </row>
    <row r="22" customFormat="false" ht="15" hidden="false" customHeight="false" outlineLevel="0" collapsed="false">
      <c r="A22" s="20" t="s">
        <v>80</v>
      </c>
      <c r="B22" s="25" t="n">
        <f aca="false">B17*0.45</f>
        <v>1338.75</v>
      </c>
      <c r="C22" s="25" t="n">
        <f aca="false">C17*0.45</f>
        <v>3604.5</v>
      </c>
      <c r="D22" s="25" t="n">
        <f aca="false">D17*0.45</f>
        <v>8865</v>
      </c>
    </row>
    <row r="24" customFormat="false" ht="15" hidden="false" customHeight="false" outlineLevel="0" collapsed="false">
      <c r="A24" s="29" t="s">
        <v>81</v>
      </c>
    </row>
    <row r="25" customFormat="false" ht="15" hidden="false" customHeight="false" outlineLevel="0" collapsed="false">
      <c r="A25" s="17" t="s">
        <v>82</v>
      </c>
    </row>
    <row r="26" customFormat="false" ht="15" hidden="false" customHeight="false" outlineLevel="0" collapsed="false">
      <c r="A26" s="17" t="s">
        <v>83</v>
      </c>
    </row>
    <row r="27" customFormat="false" ht="15" hidden="false" customHeight="false" outlineLevel="0" collapsed="false">
      <c r="A27" s="17" t="s">
        <v>84</v>
      </c>
    </row>
    <row r="28" customFormat="false" ht="15" hidden="false" customHeight="false" outlineLevel="0" collapsed="false">
      <c r="A28" s="17" t="s">
        <v>85</v>
      </c>
    </row>
    <row r="29" customFormat="false" ht="15" hidden="false" customHeight="false" outlineLevel="0" collapsed="false">
      <c r="A29" s="17" t="s">
        <v>86</v>
      </c>
    </row>
    <row r="30" customFormat="false" ht="15" hidden="false" customHeight="false" outlineLevel="0" collapsed="false">
      <c r="A30" s="17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2026-09-13T02:55:27Z</dcterms:created>
  <dc:creator>openpyxl</dc:creator>
  <dc:description/>
  <dc:language>en-US</dc:language>
  <cp:lastModifiedBy/>
  <dcterms:modified xsi:type="dcterms:W3CDTF">2026-09-13T03:20:15Z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